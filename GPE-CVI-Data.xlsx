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I:\FL\SmartPLS\Thalla\Project-18\"/>
    </mc:Choice>
  </mc:AlternateContent>
  <xr:revisionPtr revIDLastSave="0" documentId="13_ncr:1_{48129FDA-D5D0-47A8-8FF7-A89E975C5F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pert Panel Profile" sheetId="1" r:id="rId1"/>
    <sheet name="Expert Ratings" sheetId="2" r:id="rId2"/>
    <sheet name="Relev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3" l="1"/>
  <c r="C33" i="3" s="1"/>
  <c r="A33" i="3"/>
  <c r="B32" i="3"/>
  <c r="C32" i="3" s="1"/>
  <c r="A32" i="3"/>
  <c r="B31" i="3"/>
  <c r="C31" i="3" s="1"/>
  <c r="A31" i="3"/>
  <c r="C30" i="3"/>
  <c r="B30" i="3"/>
  <c r="A30" i="3"/>
  <c r="B29" i="3"/>
  <c r="C29" i="3" s="1"/>
  <c r="A29" i="3"/>
  <c r="B28" i="3"/>
  <c r="C28" i="3" s="1"/>
  <c r="A28" i="3"/>
  <c r="B27" i="3"/>
  <c r="C27" i="3" s="1"/>
  <c r="A27" i="3"/>
  <c r="C26" i="3"/>
  <c r="B26" i="3"/>
  <c r="A26" i="3"/>
  <c r="B25" i="3"/>
  <c r="C25" i="3" s="1"/>
  <c r="A25" i="3"/>
  <c r="B24" i="3"/>
  <c r="C24" i="3" s="1"/>
  <c r="A24" i="3"/>
  <c r="B23" i="3"/>
  <c r="C23" i="3" s="1"/>
  <c r="A23" i="3"/>
  <c r="C22" i="3"/>
  <c r="B22" i="3"/>
  <c r="A22" i="3"/>
  <c r="B21" i="3"/>
  <c r="C21" i="3" s="1"/>
  <c r="A21" i="3"/>
  <c r="B20" i="3"/>
  <c r="C20" i="3" s="1"/>
  <c r="A20" i="3"/>
  <c r="B19" i="3"/>
  <c r="C19" i="3" s="1"/>
  <c r="A19" i="3"/>
  <c r="C18" i="3"/>
  <c r="B18" i="3"/>
  <c r="A18" i="3"/>
  <c r="B17" i="3"/>
  <c r="C17" i="3" s="1"/>
  <c r="A17" i="3"/>
  <c r="C16" i="3"/>
  <c r="B16" i="3"/>
  <c r="A16" i="3"/>
  <c r="B15" i="3"/>
  <c r="C15" i="3" s="1"/>
  <c r="A15" i="3"/>
  <c r="C14" i="3"/>
  <c r="B14" i="3"/>
  <c r="A14" i="3"/>
  <c r="B13" i="3"/>
  <c r="C13" i="3" s="1"/>
  <c r="A13" i="3"/>
  <c r="C12" i="3"/>
  <c r="B12" i="3"/>
  <c r="A12" i="3"/>
  <c r="B11" i="3"/>
  <c r="C11" i="3" s="1"/>
  <c r="A11" i="3"/>
  <c r="C10" i="3"/>
  <c r="B10" i="3"/>
  <c r="A10" i="3"/>
  <c r="B9" i="3"/>
  <c r="C9" i="3" s="1"/>
  <c r="A9" i="3"/>
  <c r="C8" i="3"/>
  <c r="B8" i="3"/>
  <c r="A8" i="3"/>
  <c r="B7" i="3"/>
  <c r="C7" i="3" s="1"/>
  <c r="A7" i="3"/>
  <c r="C6" i="3"/>
  <c r="B6" i="3"/>
  <c r="A6" i="3"/>
  <c r="B5" i="3"/>
  <c r="C5" i="3" s="1"/>
  <c r="A5" i="3"/>
  <c r="C4" i="3"/>
  <c r="B4" i="3"/>
  <c r="A4" i="3"/>
  <c r="B3" i="3"/>
  <c r="C3" i="3" s="1"/>
  <c r="A3" i="3"/>
  <c r="C2" i="3"/>
  <c r="B2" i="3"/>
  <c r="A2" i="3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<sst xmlns="http://schemas.openxmlformats.org/spreadsheetml/2006/main" count="175" uniqueCount="112">
  <si>
    <t>Panel ID</t>
  </si>
  <si>
    <t>Background</t>
  </si>
  <si>
    <t>Domain</t>
  </si>
  <si>
    <t>Role</t>
  </si>
  <si>
    <t>Expert A</t>
  </si>
  <si>
    <t/>
  </si>
  <si>
    <t>Expert B</t>
  </si>
  <si>
    <t>Expert C</t>
  </si>
  <si>
    <t>Expert D</t>
  </si>
  <si>
    <t>Expert E</t>
  </si>
  <si>
    <t>Expert F</t>
  </si>
  <si>
    <t>Expert G</t>
  </si>
  <si>
    <t>Code</t>
  </si>
  <si>
    <t>Statement</t>
  </si>
  <si>
    <t>Score</t>
  </si>
  <si>
    <t>Revised To</t>
  </si>
  <si>
    <t>Technology-Enabled Learning (TEL)</t>
  </si>
  <si>
    <t>TEL1</t>
  </si>
  <si>
    <t>Digital learning platforms help me understand and communicate academic concepts effectively.</t>
  </si>
  <si>
    <t>TEL2</t>
  </si>
  <si>
    <t>My courses provide opportunities to use digital tools for collaborative learning.</t>
  </si>
  <si>
    <t>TEL3</t>
  </si>
  <si>
    <t>Digital learning activities improve my ability to present academic information clearly.</t>
  </si>
  <si>
    <t>TEL4</t>
  </si>
  <si>
    <t>I can use digital learning resources to prepare professional presentations and written assignments.</t>
  </si>
  <si>
    <t>Experiential Learning (EL)</t>
  </si>
  <si>
    <t>EL1</t>
  </si>
  <si>
    <t>Practical assignments help me apply classroom knowledge to real-world problems.</t>
  </si>
  <si>
    <t>EL2</t>
  </si>
  <si>
    <t>Group projects provide opportunities to practise professional communication.</t>
  </si>
  <si>
    <t>EL3</t>
  </si>
  <si>
    <t>Presentations and classroom discussions help me communicate ideas clearly.</t>
  </si>
  <si>
    <t>EL4</t>
  </si>
  <si>
    <t>Reflection on practical learning activities helps me improve my communication performance.</t>
  </si>
  <si>
    <t>Work-Integrated Learning (WIL)</t>
  </si>
  <si>
    <t>WIL1</t>
  </si>
  <si>
    <t>Workplace-based activities help me connect academic learning with professional practice.</t>
  </si>
  <si>
    <t>WIL2</t>
  </si>
  <si>
    <t>Work-integrated learning gives me opportunities to communicate with professionals.</t>
  </si>
  <si>
    <t>WIL3</t>
  </si>
  <si>
    <t>Work-related assignments help me understand professional communication expectations.</t>
  </si>
  <si>
    <t>WIL4</t>
  </si>
  <si>
    <t>Feedback from workplace supervisors helps me improve my professional performance.</t>
  </si>
  <si>
    <t>Digital Communication Competence (DCC)</t>
  </si>
  <si>
    <t>DCC1</t>
  </si>
  <si>
    <t>I can communicate clearly through professional digital channels such as email and online collaboration platforms.</t>
  </si>
  <si>
    <t>DCC2</t>
  </si>
  <si>
    <t>I can select appropriate digital communication tools for different professional tasks.</t>
  </si>
  <si>
    <t>DCC3</t>
  </si>
  <si>
    <t>I can organise and present digital information in a clear and understandable manner.</t>
  </si>
  <si>
    <t>DCC4</t>
  </si>
  <si>
    <t>I can communicate appropriately in online meetings and collaborative digital environments.</t>
  </si>
  <si>
    <t>Professional Communication Self-Efficacy (PCSE)</t>
  </si>
  <si>
    <t>PCSE1</t>
  </si>
  <si>
    <t>I am confident in presenting my ideas clearly before an academic or professional audience.</t>
  </si>
  <si>
    <t>PCSE2</t>
  </si>
  <si>
    <t>I am confident in writing professional emails and formal messages.</t>
  </si>
  <si>
    <t>PCSE3</t>
  </si>
  <si>
    <t>I am confident in participating in interviews and professional discussions.</t>
  </si>
  <si>
    <t>PCSE4</t>
  </si>
  <si>
    <t>I am confident in responding constructively to questions and feedback during professional interactions.</t>
  </si>
  <si>
    <t>Career Adaptability (CA)</t>
  </si>
  <si>
    <t>CA1</t>
  </si>
  <si>
    <t>I actively prepare for the professional opportunities and challenges I may encounter in the future.</t>
  </si>
  <si>
    <t>CA2</t>
  </si>
  <si>
    <t>I take responsibility for decisions concerning my career development.</t>
  </si>
  <si>
    <t>CA3</t>
  </si>
  <si>
    <t>I explore different career options to identify opportunities suited to my abilities.</t>
  </si>
  <si>
    <t>CA4</t>
  </si>
  <si>
    <t>I can adapt my skills and approach when professional expectations change.</t>
  </si>
  <si>
    <t>Institutional Communication Support (ICS)</t>
  </si>
  <si>
    <t>ICS1</t>
  </si>
  <si>
    <t>My institution provides adequate opportunities to develop professional communication skills.</t>
  </si>
  <si>
    <t>ICS2</t>
  </si>
  <si>
    <t>My institution provides useful feedback on presentations, written work and other communication tasks.</t>
  </si>
  <si>
    <t>ICS3</t>
  </si>
  <si>
    <t>My institution offers guidance on professional communication expectations in recruitment and employment.</t>
  </si>
  <si>
    <t>ICS4</t>
  </si>
  <si>
    <t>My institution provides appropriate support for developing communication skills relevant to the workplace.</t>
  </si>
  <si>
    <t>Graduate Perceived Employability (GPE)</t>
  </si>
  <si>
    <t>GPE1</t>
  </si>
  <si>
    <t>I believe that my knowledge and skills make me a suitable candidate for relevant employment opportunities.</t>
  </si>
  <si>
    <t>GPE2</t>
  </si>
  <si>
    <t>I believe that I can demonstrate my capabilities effectively during recruitment and selection processes.</t>
  </si>
  <si>
    <t>GPE3</t>
  </si>
  <si>
    <t>I believe that my academic preparation has equipped me with capabilities valued by prospective employers.</t>
  </si>
  <si>
    <t>GPE4</t>
  </si>
  <si>
    <t>I am confident in my ability to compete for employment opportunities relevant to my qualifications.</t>
  </si>
  <si>
    <t>ID</t>
  </si>
  <si>
    <t>Relevant</t>
  </si>
  <si>
    <t>Decision</t>
  </si>
  <si>
    <t>Educational Technology Scholar (Professor in EdTech / Digital Pedagogy)</t>
  </si>
  <si>
    <t>TEL, DCC</t>
  </si>
  <si>
    <t>Validates digital LMS platforms, collaborative tools, digital presentation utility, and online communication competence items.</t>
  </si>
  <si>
    <t>Experiential Pedagogy Specialist (Faculty specializing in Active Learning &amp; Curriculum Design)</t>
  </si>
  <si>
    <t>EL, PCSE</t>
  </si>
  <si>
    <t>Evaluates practical assignment application, reflective learning, group project dynamics, and classroom presentation confidence items.</t>
  </si>
  <si>
    <t>Work-Integrated Learning &amp; Internship Coordinator (Director of University Placement / WIL Programs)</t>
  </si>
  <si>
    <t>WIL, CA</t>
  </si>
  <si>
    <t>Assesses workplace activity connections, supervisor feedback, professional expectations, and the "Not applicable" scoring logic for non-internship students.</t>
  </si>
  <si>
    <t>Organizational &amp; Business Communication Scholar (Professor in Professional/Corporate Communication)</t>
  </si>
  <si>
    <t>DCC, PCSE</t>
  </si>
  <si>
    <t>Evaluates formal writing, professional email etiquette, interview readiness, constructive feedback handling, and digital channel selection.</t>
  </si>
  <si>
    <t>Higher Education Policy &amp; Institutional Support Expert (Senior Administrator in Academic Quality / Higher Education)</t>
  </si>
  <si>
    <t>ICS, GPE</t>
  </si>
  <si>
    <t>Assesses institutional training opportunities, faculty feedback mechanisms, recruitment support, and university career guidance items.</t>
  </si>
  <si>
    <t>Graduate Employability &amp; Talent Acquisition Specialist (Senior Corporate Recruiter / HR Director)</t>
  </si>
  <si>
    <t>CA, GPE</t>
  </si>
  <si>
    <t>Provides external industry validity to verify if self-perceived job readiness, recruitment performance confidence, and career transition skills align with employer needs.</t>
  </si>
  <si>
    <t>Quantitative Psychometrician &amp; SEM Specialist (Professor in Educational Measurement &amp; Applied Statistics)</t>
  </si>
  <si>
    <t>All Constructs</t>
  </si>
  <si>
    <t>Evaluates the moderating/mediating structural framework (H1–H13), reflective item structures, 5-point Likert scale clarity, double-barreled item detection, and overall psychometric integrity of all items.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</si>
</sst>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theme="0"/>
      <name val="Calibri"/>
      <family val="2"/>
    </font>
    <font>
      <b/>
      <sz val="10"/>
      <color rgb="FF1F1F1F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1F1F1F"/>
      <name val="Arial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4" fillId="0" borderId="0" xfId="0" applyFont="1"/>
    <xf numFmtId="0" fontId="6" fillId="0" borderId="0" xfId="0" applyFont="1"/>
    <xf numFmtId="0" fontId="3" fillId="0" borderId="2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F10" sqref="F10"/>
    </sheetView>
  </sheetViews>
  <sheetFormatPr defaultColWidth="11.42578125" defaultRowHeight="12.75" x14ac:dyDescent="0.2"/>
  <cols>
    <col min="1" max="1" width="12.7109375" style="6" customWidth="1"/>
    <col min="2" max="2" width="55.7109375" style="6" customWidth="1"/>
    <col min="3" max="3" width="12.7109375" style="6" bestFit="1" customWidth="1"/>
    <col min="4" max="4" width="70.7109375" style="6" customWidth="1"/>
    <col min="5" max="16384" width="11.42578125" style="6"/>
  </cols>
  <sheetData>
    <row r="1" spans="1:4" s="5" customFormat="1" x14ac:dyDescent="0.2">
      <c r="A1" s="7" t="s">
        <v>0</v>
      </c>
      <c r="B1" s="7" t="s">
        <v>1</v>
      </c>
      <c r="C1" s="7" t="s">
        <v>2</v>
      </c>
      <c r="D1" s="7" t="s">
        <v>3</v>
      </c>
    </row>
    <row r="2" spans="1:4" ht="25.5" x14ac:dyDescent="0.2">
      <c r="A2" s="8" t="s">
        <v>4</v>
      </c>
      <c r="B2" s="8" t="s">
        <v>91</v>
      </c>
      <c r="C2" s="8" t="s">
        <v>92</v>
      </c>
      <c r="D2" s="8" t="s">
        <v>93</v>
      </c>
    </row>
    <row r="3" spans="1:4" ht="25.5" x14ac:dyDescent="0.2">
      <c r="A3" s="8" t="s">
        <v>6</v>
      </c>
      <c r="B3" s="8" t="s">
        <v>94</v>
      </c>
      <c r="C3" s="8" t="s">
        <v>95</v>
      </c>
      <c r="D3" s="8" t="s">
        <v>96</v>
      </c>
    </row>
    <row r="4" spans="1:4" ht="25.5" x14ac:dyDescent="0.2">
      <c r="A4" s="8" t="s">
        <v>7</v>
      </c>
      <c r="B4" s="8" t="s">
        <v>97</v>
      </c>
      <c r="C4" s="8" t="s">
        <v>98</v>
      </c>
      <c r="D4" s="8" t="s">
        <v>99</v>
      </c>
    </row>
    <row r="5" spans="1:4" ht="25.5" x14ac:dyDescent="0.2">
      <c r="A5" s="8" t="s">
        <v>8</v>
      </c>
      <c r="B5" s="8" t="s">
        <v>100</v>
      </c>
      <c r="C5" s="8" t="s">
        <v>101</v>
      </c>
      <c r="D5" s="8" t="s">
        <v>102</v>
      </c>
    </row>
    <row r="6" spans="1:4" ht="25.5" x14ac:dyDescent="0.2">
      <c r="A6" s="8" t="s">
        <v>9</v>
      </c>
      <c r="B6" s="8" t="s">
        <v>103</v>
      </c>
      <c r="C6" s="8" t="s">
        <v>104</v>
      </c>
      <c r="D6" s="8" t="s">
        <v>105</v>
      </c>
    </row>
    <row r="7" spans="1:4" ht="38.25" x14ac:dyDescent="0.2">
      <c r="A7" s="8" t="s">
        <v>10</v>
      </c>
      <c r="B7" s="8" t="s">
        <v>106</v>
      </c>
      <c r="C7" s="8" t="s">
        <v>107</v>
      </c>
      <c r="D7" s="8" t="s">
        <v>108</v>
      </c>
    </row>
    <row r="8" spans="1:4" ht="38.25" x14ac:dyDescent="0.2">
      <c r="A8" s="8" t="s">
        <v>11</v>
      </c>
      <c r="B8" s="8" t="s">
        <v>109</v>
      </c>
      <c r="C8" s="8" t="s">
        <v>110</v>
      </c>
      <c r="D8" s="8" t="s">
        <v>111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"/>
  <sheetViews>
    <sheetView workbookViewId="0">
      <pane ySplit="1" topLeftCell="A2" activePane="bottomLeft" state="frozen"/>
      <selection pane="bottomLeft" activeCell="L1" sqref="A1:L1"/>
    </sheetView>
  </sheetViews>
  <sheetFormatPr defaultColWidth="11.42578125" defaultRowHeight="15" x14ac:dyDescent="0.25"/>
  <cols>
    <col min="1" max="1" width="34.7109375" customWidth="1"/>
    <col min="2" max="2" width="9.7109375" customWidth="1"/>
    <col min="3" max="3" width="78.7109375" customWidth="1"/>
    <col min="4" max="10" width="10.7109375" customWidth="1"/>
    <col min="11" max="11" width="8.7109375" customWidth="1"/>
    <col min="12" max="12" width="48.7109375" customWidth="1"/>
  </cols>
  <sheetData>
    <row r="1" spans="1:12" x14ac:dyDescent="0.25">
      <c r="A1" s="9" t="s">
        <v>2</v>
      </c>
      <c r="B1" s="9" t="s">
        <v>12</v>
      </c>
      <c r="C1" s="9" t="s">
        <v>13</v>
      </c>
      <c r="D1" s="9" t="s">
        <v>4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14</v>
      </c>
      <c r="L1" s="9" t="s">
        <v>15</v>
      </c>
    </row>
    <row r="2" spans="1:12" ht="30" x14ac:dyDescent="0.25">
      <c r="A2" s="4" t="s">
        <v>16</v>
      </c>
      <c r="B2" s="1" t="s">
        <v>17</v>
      </c>
      <c r="C2" s="1" t="s">
        <v>18</v>
      </c>
      <c r="D2" s="2">
        <v>4</v>
      </c>
      <c r="E2" s="2">
        <v>3</v>
      </c>
      <c r="F2" s="2">
        <v>3</v>
      </c>
      <c r="G2" s="2">
        <v>3</v>
      </c>
      <c r="H2" s="2">
        <v>3</v>
      </c>
      <c r="I2" s="2">
        <v>3</v>
      </c>
      <c r="J2" s="2">
        <v>3</v>
      </c>
      <c r="K2" s="2">
        <f t="shared" ref="K2:K33" si="0">SUM(D2:J2)</f>
        <v>22</v>
      </c>
      <c r="L2" s="1" t="s">
        <v>5</v>
      </c>
    </row>
    <row r="3" spans="1:12" x14ac:dyDescent="0.25">
      <c r="A3" s="4" t="s">
        <v>5</v>
      </c>
      <c r="B3" s="1" t="s">
        <v>19</v>
      </c>
      <c r="C3" s="1" t="s">
        <v>20</v>
      </c>
      <c r="D3" s="2">
        <v>3</v>
      </c>
      <c r="E3" s="2">
        <v>3</v>
      </c>
      <c r="F3" s="2">
        <v>3</v>
      </c>
      <c r="G3" s="2">
        <v>4</v>
      </c>
      <c r="H3" s="2">
        <v>3</v>
      </c>
      <c r="I3" s="2">
        <v>4</v>
      </c>
      <c r="J3" s="2">
        <v>3</v>
      </c>
      <c r="K3" s="2">
        <f t="shared" si="0"/>
        <v>23</v>
      </c>
      <c r="L3" s="1" t="s">
        <v>5</v>
      </c>
    </row>
    <row r="4" spans="1:12" x14ac:dyDescent="0.25">
      <c r="A4" s="4" t="s">
        <v>5</v>
      </c>
      <c r="B4" s="1" t="s">
        <v>21</v>
      </c>
      <c r="C4" s="1" t="s">
        <v>22</v>
      </c>
      <c r="D4" s="2">
        <v>3</v>
      </c>
      <c r="E4" s="2">
        <v>2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f t="shared" si="0"/>
        <v>20</v>
      </c>
      <c r="L4" s="1" t="s">
        <v>5</v>
      </c>
    </row>
    <row r="5" spans="1:12" ht="30" x14ac:dyDescent="0.25">
      <c r="A5" s="4" t="s">
        <v>5</v>
      </c>
      <c r="B5" s="1" t="s">
        <v>23</v>
      </c>
      <c r="C5" s="1" t="s">
        <v>24</v>
      </c>
      <c r="D5" s="2">
        <v>3</v>
      </c>
      <c r="E5" s="2">
        <v>3</v>
      </c>
      <c r="F5" s="2">
        <v>3</v>
      </c>
      <c r="G5" s="2">
        <v>3</v>
      </c>
      <c r="H5" s="2">
        <v>3</v>
      </c>
      <c r="I5" s="2">
        <v>4</v>
      </c>
      <c r="J5" s="2">
        <v>3</v>
      </c>
      <c r="K5" s="2">
        <f t="shared" si="0"/>
        <v>22</v>
      </c>
      <c r="L5" s="1" t="s">
        <v>5</v>
      </c>
    </row>
    <row r="6" spans="1:12" x14ac:dyDescent="0.25">
      <c r="A6" s="4" t="s">
        <v>25</v>
      </c>
      <c r="B6" s="1" t="s">
        <v>26</v>
      </c>
      <c r="C6" s="1" t="s">
        <v>27</v>
      </c>
      <c r="D6" s="2">
        <v>3</v>
      </c>
      <c r="E6" s="2">
        <v>3</v>
      </c>
      <c r="F6" s="2">
        <v>3</v>
      </c>
      <c r="G6" s="2">
        <v>3</v>
      </c>
      <c r="H6" s="2">
        <v>3</v>
      </c>
      <c r="I6" s="2">
        <v>4</v>
      </c>
      <c r="J6" s="2">
        <v>3</v>
      </c>
      <c r="K6" s="2">
        <f t="shared" si="0"/>
        <v>22</v>
      </c>
      <c r="L6" s="1" t="s">
        <v>5</v>
      </c>
    </row>
    <row r="7" spans="1:12" x14ac:dyDescent="0.25">
      <c r="A7" s="4" t="s">
        <v>5</v>
      </c>
      <c r="B7" s="1" t="s">
        <v>28</v>
      </c>
      <c r="C7" s="1" t="s">
        <v>29</v>
      </c>
      <c r="D7" s="2">
        <v>4</v>
      </c>
      <c r="E7" s="2">
        <v>3</v>
      </c>
      <c r="F7" s="2">
        <v>3</v>
      </c>
      <c r="G7" s="2">
        <v>3</v>
      </c>
      <c r="H7" s="2">
        <v>3</v>
      </c>
      <c r="I7" s="2">
        <v>4</v>
      </c>
      <c r="J7" s="2">
        <v>3</v>
      </c>
      <c r="K7" s="2">
        <f t="shared" si="0"/>
        <v>23</v>
      </c>
      <c r="L7" s="1" t="s">
        <v>5</v>
      </c>
    </row>
    <row r="8" spans="1:12" x14ac:dyDescent="0.25">
      <c r="A8" s="4" t="s">
        <v>5</v>
      </c>
      <c r="B8" s="1" t="s">
        <v>30</v>
      </c>
      <c r="C8" s="1" t="s">
        <v>31</v>
      </c>
      <c r="D8" s="2">
        <v>3</v>
      </c>
      <c r="E8" s="2">
        <v>4</v>
      </c>
      <c r="F8" s="2">
        <v>3</v>
      </c>
      <c r="G8" s="2">
        <v>4</v>
      </c>
      <c r="H8" s="2">
        <v>4</v>
      </c>
      <c r="I8" s="2">
        <v>3</v>
      </c>
      <c r="J8" s="2">
        <v>4</v>
      </c>
      <c r="K8" s="2">
        <f t="shared" si="0"/>
        <v>25</v>
      </c>
      <c r="L8" s="1" t="s">
        <v>5</v>
      </c>
    </row>
    <row r="9" spans="1:12" ht="30" x14ac:dyDescent="0.25">
      <c r="A9" s="4" t="s">
        <v>5</v>
      </c>
      <c r="B9" s="1" t="s">
        <v>32</v>
      </c>
      <c r="C9" s="1" t="s">
        <v>33</v>
      </c>
      <c r="D9" s="2">
        <v>3</v>
      </c>
      <c r="E9" s="2">
        <v>4</v>
      </c>
      <c r="F9" s="2">
        <v>3</v>
      </c>
      <c r="G9" s="2">
        <v>3</v>
      </c>
      <c r="H9" s="2">
        <v>4</v>
      </c>
      <c r="I9" s="2">
        <v>3</v>
      </c>
      <c r="J9" s="2">
        <v>3</v>
      </c>
      <c r="K9" s="2">
        <f t="shared" si="0"/>
        <v>23</v>
      </c>
      <c r="L9" s="1" t="s">
        <v>5</v>
      </c>
    </row>
    <row r="10" spans="1:12" ht="30" x14ac:dyDescent="0.25">
      <c r="A10" s="4" t="s">
        <v>34</v>
      </c>
      <c r="B10" s="1" t="s">
        <v>35</v>
      </c>
      <c r="C10" s="1" t="s">
        <v>36</v>
      </c>
      <c r="D10" s="2">
        <v>3</v>
      </c>
      <c r="E10" s="2">
        <v>3</v>
      </c>
      <c r="F10" s="2">
        <v>3</v>
      </c>
      <c r="G10" s="2">
        <v>3</v>
      </c>
      <c r="H10" s="2">
        <v>4</v>
      </c>
      <c r="I10" s="2">
        <v>4</v>
      </c>
      <c r="J10" s="2">
        <v>3</v>
      </c>
      <c r="K10" s="2">
        <f t="shared" si="0"/>
        <v>23</v>
      </c>
      <c r="L10" s="1" t="s">
        <v>5</v>
      </c>
    </row>
    <row r="11" spans="1:12" x14ac:dyDescent="0.25">
      <c r="A11" s="4" t="s">
        <v>5</v>
      </c>
      <c r="B11" s="1" t="s">
        <v>37</v>
      </c>
      <c r="C11" s="1" t="s">
        <v>38</v>
      </c>
      <c r="D11" s="2">
        <v>2</v>
      </c>
      <c r="E11" s="2">
        <v>3</v>
      </c>
      <c r="F11" s="2">
        <v>3</v>
      </c>
      <c r="G11" s="2">
        <v>4</v>
      </c>
      <c r="H11" s="2">
        <v>3</v>
      </c>
      <c r="I11" s="2">
        <v>3</v>
      </c>
      <c r="J11" s="2">
        <v>4</v>
      </c>
      <c r="K11" s="2">
        <f t="shared" si="0"/>
        <v>22</v>
      </c>
      <c r="L11" s="1" t="s">
        <v>5</v>
      </c>
    </row>
    <row r="12" spans="1:12" ht="30" x14ac:dyDescent="0.25">
      <c r="A12" s="4" t="s">
        <v>5</v>
      </c>
      <c r="B12" s="1" t="s">
        <v>39</v>
      </c>
      <c r="C12" s="1" t="s">
        <v>40</v>
      </c>
      <c r="D12" s="2">
        <v>4</v>
      </c>
      <c r="E12" s="2">
        <v>4</v>
      </c>
      <c r="F12" s="2">
        <v>3</v>
      </c>
      <c r="G12" s="2">
        <v>4</v>
      </c>
      <c r="H12" s="2">
        <v>3</v>
      </c>
      <c r="I12" s="2">
        <v>4</v>
      </c>
      <c r="J12" s="2">
        <v>3</v>
      </c>
      <c r="K12" s="2">
        <f t="shared" si="0"/>
        <v>25</v>
      </c>
      <c r="L12" s="1" t="s">
        <v>5</v>
      </c>
    </row>
    <row r="13" spans="1:12" ht="30" x14ac:dyDescent="0.25">
      <c r="A13" s="4" t="s">
        <v>5</v>
      </c>
      <c r="B13" s="1" t="s">
        <v>41</v>
      </c>
      <c r="C13" s="1" t="s">
        <v>42</v>
      </c>
      <c r="D13" s="2">
        <v>4</v>
      </c>
      <c r="E13" s="2">
        <v>4</v>
      </c>
      <c r="F13" s="2">
        <v>4</v>
      </c>
      <c r="G13" s="2">
        <v>3</v>
      </c>
      <c r="H13" s="2">
        <v>3</v>
      </c>
      <c r="I13" s="2">
        <v>3</v>
      </c>
      <c r="J13" s="2">
        <v>4</v>
      </c>
      <c r="K13" s="2">
        <f t="shared" si="0"/>
        <v>25</v>
      </c>
      <c r="L13" s="1" t="s">
        <v>5</v>
      </c>
    </row>
    <row r="14" spans="1:12" ht="30" x14ac:dyDescent="0.25">
      <c r="A14" s="4" t="s">
        <v>43</v>
      </c>
      <c r="B14" s="1" t="s">
        <v>44</v>
      </c>
      <c r="C14" s="1" t="s">
        <v>45</v>
      </c>
      <c r="D14" s="2">
        <v>4</v>
      </c>
      <c r="E14" s="2">
        <v>3</v>
      </c>
      <c r="F14" s="2">
        <v>3</v>
      </c>
      <c r="G14" s="2">
        <v>4</v>
      </c>
      <c r="H14" s="2">
        <v>3</v>
      </c>
      <c r="I14" s="2">
        <v>3</v>
      </c>
      <c r="J14" s="2">
        <v>3</v>
      </c>
      <c r="K14" s="2">
        <f t="shared" si="0"/>
        <v>23</v>
      </c>
      <c r="L14" s="1" t="s">
        <v>5</v>
      </c>
    </row>
    <row r="15" spans="1:12" x14ac:dyDescent="0.25">
      <c r="A15" s="4" t="s">
        <v>5</v>
      </c>
      <c r="B15" s="1" t="s">
        <v>46</v>
      </c>
      <c r="C15" s="1" t="s">
        <v>47</v>
      </c>
      <c r="D15" s="2">
        <v>4</v>
      </c>
      <c r="E15" s="2">
        <v>3</v>
      </c>
      <c r="F15" s="2">
        <v>3</v>
      </c>
      <c r="G15" s="2">
        <v>3</v>
      </c>
      <c r="H15" s="2">
        <v>3</v>
      </c>
      <c r="I15" s="2">
        <v>4</v>
      </c>
      <c r="J15" s="2">
        <v>3</v>
      </c>
      <c r="K15" s="2">
        <f t="shared" si="0"/>
        <v>23</v>
      </c>
      <c r="L15" s="1" t="s">
        <v>5</v>
      </c>
    </row>
    <row r="16" spans="1:12" x14ac:dyDescent="0.25">
      <c r="A16" s="4" t="s">
        <v>5</v>
      </c>
      <c r="B16" s="1" t="s">
        <v>48</v>
      </c>
      <c r="C16" s="1" t="s">
        <v>49</v>
      </c>
      <c r="D16" s="2">
        <v>3</v>
      </c>
      <c r="E16" s="2">
        <v>3</v>
      </c>
      <c r="F16" s="2">
        <v>2</v>
      </c>
      <c r="G16" s="2">
        <v>3</v>
      </c>
      <c r="H16" s="2">
        <v>3</v>
      </c>
      <c r="I16" s="2">
        <v>4</v>
      </c>
      <c r="J16" s="2">
        <v>3</v>
      </c>
      <c r="K16" s="2">
        <f t="shared" si="0"/>
        <v>21</v>
      </c>
      <c r="L16" s="1" t="s">
        <v>5</v>
      </c>
    </row>
    <row r="17" spans="1:12" ht="30" x14ac:dyDescent="0.25">
      <c r="A17" s="4" t="s">
        <v>5</v>
      </c>
      <c r="B17" s="1" t="s">
        <v>50</v>
      </c>
      <c r="C17" s="1" t="s">
        <v>51</v>
      </c>
      <c r="D17" s="2">
        <v>4</v>
      </c>
      <c r="E17" s="2">
        <v>3</v>
      </c>
      <c r="F17" s="2">
        <v>3</v>
      </c>
      <c r="G17" s="2">
        <v>3</v>
      </c>
      <c r="H17" s="2">
        <v>3</v>
      </c>
      <c r="I17" s="2">
        <v>3</v>
      </c>
      <c r="J17" s="2">
        <v>3</v>
      </c>
      <c r="K17" s="2">
        <f t="shared" si="0"/>
        <v>22</v>
      </c>
      <c r="L17" s="1" t="s">
        <v>5</v>
      </c>
    </row>
    <row r="18" spans="1:12" ht="30" x14ac:dyDescent="0.25">
      <c r="A18" s="4" t="s">
        <v>52</v>
      </c>
      <c r="B18" s="1" t="s">
        <v>53</v>
      </c>
      <c r="C18" s="1" t="s">
        <v>54</v>
      </c>
      <c r="D18" s="2">
        <v>3</v>
      </c>
      <c r="E18" s="2">
        <v>3</v>
      </c>
      <c r="F18" s="2">
        <v>3</v>
      </c>
      <c r="G18" s="2">
        <v>4</v>
      </c>
      <c r="H18" s="2">
        <v>3</v>
      </c>
      <c r="I18" s="2">
        <v>3</v>
      </c>
      <c r="J18" s="2">
        <v>3</v>
      </c>
      <c r="K18" s="2">
        <f t="shared" si="0"/>
        <v>22</v>
      </c>
      <c r="L18" s="1" t="s">
        <v>5</v>
      </c>
    </row>
    <row r="19" spans="1:12" x14ac:dyDescent="0.25">
      <c r="A19" s="4" t="s">
        <v>5</v>
      </c>
      <c r="B19" s="1" t="s">
        <v>55</v>
      </c>
      <c r="C19" s="1" t="s">
        <v>56</v>
      </c>
      <c r="D19" s="2">
        <v>3</v>
      </c>
      <c r="E19" s="2">
        <v>4</v>
      </c>
      <c r="F19" s="2">
        <v>3</v>
      </c>
      <c r="G19" s="2">
        <v>3</v>
      </c>
      <c r="H19" s="2">
        <v>3</v>
      </c>
      <c r="I19" s="2">
        <v>4</v>
      </c>
      <c r="J19" s="2">
        <v>3</v>
      </c>
      <c r="K19" s="2">
        <f t="shared" si="0"/>
        <v>23</v>
      </c>
      <c r="L19" s="1" t="s">
        <v>5</v>
      </c>
    </row>
    <row r="20" spans="1:12" x14ac:dyDescent="0.25">
      <c r="A20" s="4" t="s">
        <v>5</v>
      </c>
      <c r="B20" s="1" t="s">
        <v>57</v>
      </c>
      <c r="C20" s="1" t="s">
        <v>58</v>
      </c>
      <c r="D20" s="2">
        <v>3</v>
      </c>
      <c r="E20" s="2">
        <v>4</v>
      </c>
      <c r="F20" s="2">
        <v>3</v>
      </c>
      <c r="G20" s="2">
        <v>3</v>
      </c>
      <c r="H20" s="2">
        <v>3</v>
      </c>
      <c r="I20" s="2">
        <v>4</v>
      </c>
      <c r="J20" s="2">
        <v>3</v>
      </c>
      <c r="K20" s="2">
        <f t="shared" si="0"/>
        <v>23</v>
      </c>
      <c r="L20" s="1" t="s">
        <v>5</v>
      </c>
    </row>
    <row r="21" spans="1:12" ht="30" x14ac:dyDescent="0.25">
      <c r="A21" s="4" t="s">
        <v>5</v>
      </c>
      <c r="B21" s="1" t="s">
        <v>59</v>
      </c>
      <c r="C21" s="1" t="s">
        <v>60</v>
      </c>
      <c r="D21" s="2">
        <v>4</v>
      </c>
      <c r="E21" s="2">
        <v>3</v>
      </c>
      <c r="F21" s="2">
        <v>4</v>
      </c>
      <c r="G21" s="2">
        <v>4</v>
      </c>
      <c r="H21" s="2">
        <v>3</v>
      </c>
      <c r="I21" s="2">
        <v>3</v>
      </c>
      <c r="J21" s="2">
        <v>3</v>
      </c>
      <c r="K21" s="2">
        <f t="shared" si="0"/>
        <v>24</v>
      </c>
      <c r="L21" s="1" t="s">
        <v>5</v>
      </c>
    </row>
    <row r="22" spans="1:12" ht="30" x14ac:dyDescent="0.25">
      <c r="A22" s="4" t="s">
        <v>61</v>
      </c>
      <c r="B22" s="1" t="s">
        <v>62</v>
      </c>
      <c r="C22" s="1" t="s">
        <v>63</v>
      </c>
      <c r="D22" s="2">
        <v>3</v>
      </c>
      <c r="E22" s="2">
        <v>3</v>
      </c>
      <c r="F22" s="2">
        <v>3</v>
      </c>
      <c r="G22" s="2">
        <v>3</v>
      </c>
      <c r="H22" s="2">
        <v>3</v>
      </c>
      <c r="I22" s="2">
        <v>3</v>
      </c>
      <c r="J22" s="2">
        <v>3</v>
      </c>
      <c r="K22" s="2">
        <f t="shared" si="0"/>
        <v>21</v>
      </c>
      <c r="L22" s="1" t="s">
        <v>5</v>
      </c>
    </row>
    <row r="23" spans="1:12" x14ac:dyDescent="0.25">
      <c r="A23" s="4" t="s">
        <v>5</v>
      </c>
      <c r="B23" s="1" t="s">
        <v>64</v>
      </c>
      <c r="C23" s="1" t="s">
        <v>65</v>
      </c>
      <c r="D23" s="2">
        <v>4</v>
      </c>
      <c r="E23" s="2">
        <v>3</v>
      </c>
      <c r="F23" s="2">
        <v>4</v>
      </c>
      <c r="G23" s="2">
        <v>3</v>
      </c>
      <c r="H23" s="2">
        <v>3</v>
      </c>
      <c r="I23" s="2">
        <v>4</v>
      </c>
      <c r="J23" s="2">
        <v>4</v>
      </c>
      <c r="K23" s="2">
        <f t="shared" si="0"/>
        <v>25</v>
      </c>
      <c r="L23" s="1" t="s">
        <v>5</v>
      </c>
    </row>
    <row r="24" spans="1:12" x14ac:dyDescent="0.25">
      <c r="A24" s="4" t="s">
        <v>5</v>
      </c>
      <c r="B24" s="1" t="s">
        <v>66</v>
      </c>
      <c r="C24" s="1" t="s">
        <v>67</v>
      </c>
      <c r="D24" s="2">
        <v>3</v>
      </c>
      <c r="E24" s="2">
        <v>3</v>
      </c>
      <c r="F24" s="2">
        <v>3</v>
      </c>
      <c r="G24" s="2">
        <v>4</v>
      </c>
      <c r="H24" s="2">
        <v>3</v>
      </c>
      <c r="I24" s="2">
        <v>3</v>
      </c>
      <c r="J24" s="2">
        <v>3</v>
      </c>
      <c r="K24" s="2">
        <f t="shared" si="0"/>
        <v>22</v>
      </c>
      <c r="L24" s="1" t="s">
        <v>5</v>
      </c>
    </row>
    <row r="25" spans="1:12" x14ac:dyDescent="0.25">
      <c r="A25" s="4" t="s">
        <v>5</v>
      </c>
      <c r="B25" s="1" t="s">
        <v>68</v>
      </c>
      <c r="C25" s="1" t="s">
        <v>69</v>
      </c>
      <c r="D25" s="2">
        <v>3</v>
      </c>
      <c r="E25" s="2">
        <v>3</v>
      </c>
      <c r="F25" s="2">
        <v>3</v>
      </c>
      <c r="G25" s="2">
        <v>3</v>
      </c>
      <c r="H25" s="2">
        <v>3</v>
      </c>
      <c r="I25" s="2">
        <v>3</v>
      </c>
      <c r="J25" s="2">
        <v>4</v>
      </c>
      <c r="K25" s="2">
        <f t="shared" si="0"/>
        <v>22</v>
      </c>
      <c r="L25" s="1" t="s">
        <v>5</v>
      </c>
    </row>
    <row r="26" spans="1:12" ht="30" x14ac:dyDescent="0.25">
      <c r="A26" s="4" t="s">
        <v>70</v>
      </c>
      <c r="B26" s="1" t="s">
        <v>71</v>
      </c>
      <c r="C26" s="1" t="s">
        <v>72</v>
      </c>
      <c r="D26" s="2">
        <v>3</v>
      </c>
      <c r="E26" s="2">
        <v>3</v>
      </c>
      <c r="F26" s="2">
        <v>3</v>
      </c>
      <c r="G26" s="2">
        <v>3</v>
      </c>
      <c r="H26" s="2">
        <v>3</v>
      </c>
      <c r="I26" s="2">
        <v>4</v>
      </c>
      <c r="J26" s="2">
        <v>3</v>
      </c>
      <c r="K26" s="2">
        <f t="shared" si="0"/>
        <v>22</v>
      </c>
      <c r="L26" s="1" t="s">
        <v>5</v>
      </c>
    </row>
    <row r="27" spans="1:12" ht="30" x14ac:dyDescent="0.25">
      <c r="A27" s="4" t="s">
        <v>5</v>
      </c>
      <c r="B27" s="1" t="s">
        <v>73</v>
      </c>
      <c r="C27" s="1" t="s">
        <v>74</v>
      </c>
      <c r="D27" s="2">
        <v>4</v>
      </c>
      <c r="E27" s="2">
        <v>3</v>
      </c>
      <c r="F27" s="2">
        <v>4</v>
      </c>
      <c r="G27" s="2">
        <v>3</v>
      </c>
      <c r="H27" s="2">
        <v>4</v>
      </c>
      <c r="I27" s="2">
        <v>4</v>
      </c>
      <c r="J27" s="2">
        <v>3</v>
      </c>
      <c r="K27" s="2">
        <f t="shared" si="0"/>
        <v>25</v>
      </c>
      <c r="L27" s="1" t="s">
        <v>5</v>
      </c>
    </row>
    <row r="28" spans="1:12" ht="30" x14ac:dyDescent="0.25">
      <c r="A28" s="4" t="s">
        <v>5</v>
      </c>
      <c r="B28" s="1" t="s">
        <v>75</v>
      </c>
      <c r="C28" s="1" t="s">
        <v>76</v>
      </c>
      <c r="D28" s="2">
        <v>3</v>
      </c>
      <c r="E28" s="2">
        <v>3</v>
      </c>
      <c r="F28" s="2">
        <v>2</v>
      </c>
      <c r="G28" s="2">
        <v>4</v>
      </c>
      <c r="H28" s="2">
        <v>3</v>
      </c>
      <c r="I28" s="2">
        <v>3</v>
      </c>
      <c r="J28" s="2">
        <v>3</v>
      </c>
      <c r="K28" s="2">
        <f t="shared" si="0"/>
        <v>21</v>
      </c>
      <c r="L28" s="1" t="s">
        <v>5</v>
      </c>
    </row>
    <row r="29" spans="1:12" ht="30" x14ac:dyDescent="0.25">
      <c r="A29" s="4" t="s">
        <v>5</v>
      </c>
      <c r="B29" s="1" t="s">
        <v>77</v>
      </c>
      <c r="C29" s="1" t="s">
        <v>78</v>
      </c>
      <c r="D29" s="2">
        <v>3</v>
      </c>
      <c r="E29" s="2">
        <v>2</v>
      </c>
      <c r="F29" s="2">
        <v>3</v>
      </c>
      <c r="G29" s="2">
        <v>4</v>
      </c>
      <c r="H29" s="2">
        <v>3</v>
      </c>
      <c r="I29" s="2">
        <v>4</v>
      </c>
      <c r="J29" s="2">
        <v>4</v>
      </c>
      <c r="K29" s="2">
        <f t="shared" si="0"/>
        <v>23</v>
      </c>
      <c r="L29" s="1" t="s">
        <v>5</v>
      </c>
    </row>
    <row r="30" spans="1:12" ht="30" x14ac:dyDescent="0.25">
      <c r="A30" s="4" t="s">
        <v>79</v>
      </c>
      <c r="B30" s="1" t="s">
        <v>80</v>
      </c>
      <c r="C30" s="1" t="s">
        <v>81</v>
      </c>
      <c r="D30" s="2">
        <v>3</v>
      </c>
      <c r="E30" s="2">
        <v>3</v>
      </c>
      <c r="F30" s="2">
        <v>3</v>
      </c>
      <c r="G30" s="2">
        <v>3</v>
      </c>
      <c r="H30" s="2">
        <v>3</v>
      </c>
      <c r="I30" s="2">
        <v>4</v>
      </c>
      <c r="J30" s="2">
        <v>4</v>
      </c>
      <c r="K30" s="2">
        <f t="shared" si="0"/>
        <v>23</v>
      </c>
      <c r="L30" s="1" t="s">
        <v>5</v>
      </c>
    </row>
    <row r="31" spans="1:12" ht="30" x14ac:dyDescent="0.25">
      <c r="A31" s="4" t="s">
        <v>5</v>
      </c>
      <c r="B31" s="1" t="s">
        <v>82</v>
      </c>
      <c r="C31" s="1" t="s">
        <v>83</v>
      </c>
      <c r="D31" s="2">
        <v>3</v>
      </c>
      <c r="E31" s="2">
        <v>3</v>
      </c>
      <c r="F31" s="2">
        <v>4</v>
      </c>
      <c r="G31" s="2">
        <v>4</v>
      </c>
      <c r="H31" s="2">
        <v>3</v>
      </c>
      <c r="I31" s="2">
        <v>4</v>
      </c>
      <c r="J31" s="2">
        <v>4</v>
      </c>
      <c r="K31" s="2">
        <f t="shared" si="0"/>
        <v>25</v>
      </c>
      <c r="L31" s="1" t="s">
        <v>5</v>
      </c>
    </row>
    <row r="32" spans="1:12" ht="30" x14ac:dyDescent="0.25">
      <c r="A32" s="4" t="s">
        <v>5</v>
      </c>
      <c r="B32" s="1" t="s">
        <v>84</v>
      </c>
      <c r="C32" s="1" t="s">
        <v>85</v>
      </c>
      <c r="D32" s="2">
        <v>3</v>
      </c>
      <c r="E32" s="2">
        <v>4</v>
      </c>
      <c r="F32" s="2">
        <v>3</v>
      </c>
      <c r="G32" s="2">
        <v>3</v>
      </c>
      <c r="H32" s="2">
        <v>3</v>
      </c>
      <c r="I32" s="2">
        <v>4</v>
      </c>
      <c r="J32" s="2">
        <v>3</v>
      </c>
      <c r="K32" s="2">
        <f t="shared" si="0"/>
        <v>23</v>
      </c>
      <c r="L32" s="1" t="s">
        <v>5</v>
      </c>
    </row>
    <row r="33" spans="1:12" ht="30" x14ac:dyDescent="0.25">
      <c r="A33" s="4" t="s">
        <v>5</v>
      </c>
      <c r="B33" s="1" t="s">
        <v>86</v>
      </c>
      <c r="C33" s="1" t="s">
        <v>87</v>
      </c>
      <c r="D33" s="2">
        <v>4</v>
      </c>
      <c r="E33" s="2">
        <v>3</v>
      </c>
      <c r="F33" s="2">
        <v>3</v>
      </c>
      <c r="G33" s="2">
        <v>4</v>
      </c>
      <c r="H33" s="2">
        <v>4</v>
      </c>
      <c r="I33" s="2">
        <v>4</v>
      </c>
      <c r="J33" s="2">
        <v>3</v>
      </c>
      <c r="K33" s="2">
        <f t="shared" si="0"/>
        <v>25</v>
      </c>
      <c r="L33" s="1" t="s">
        <v>5</v>
      </c>
    </row>
  </sheetData>
  <mergeCells count="8">
    <mergeCell ref="A22:A25"/>
    <mergeCell ref="A26:A29"/>
    <mergeCell ref="A30:A33"/>
    <mergeCell ref="A2:A5"/>
    <mergeCell ref="A6:A9"/>
    <mergeCell ref="A10:A13"/>
    <mergeCell ref="A14:A17"/>
    <mergeCell ref="A18:A2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workbookViewId="0">
      <selection activeCell="F5" sqref="F5"/>
    </sheetView>
  </sheetViews>
  <sheetFormatPr defaultColWidth="11.42578125" defaultRowHeight="15" x14ac:dyDescent="0.25"/>
  <cols>
    <col min="1" max="1" width="10.7109375" customWidth="1"/>
    <col min="2" max="3" width="12.7109375" customWidth="1"/>
  </cols>
  <sheetData>
    <row r="1" spans="1:3" x14ac:dyDescent="0.25">
      <c r="A1" s="9" t="s">
        <v>88</v>
      </c>
      <c r="B1" s="9" t="s">
        <v>89</v>
      </c>
      <c r="C1" s="9" t="s">
        <v>90</v>
      </c>
    </row>
    <row r="2" spans="1:3" x14ac:dyDescent="0.25">
      <c r="A2" s="2" t="str">
        <f>'Expert Ratings'!B2</f>
        <v>TEL1</v>
      </c>
      <c r="B2" s="3">
        <f>COUNTIF('Expert Ratings'!D2:J2,"&gt;=3")/COUNT('Expert Ratings'!D2:J2)</f>
        <v>1</v>
      </c>
      <c r="C2" s="2" t="str">
        <f t="shared" ref="C2:C33" si="0">IF(B2&gt;=0.78,"Retain","Revise")</f>
        <v>Retain</v>
      </c>
    </row>
    <row r="3" spans="1:3" x14ac:dyDescent="0.25">
      <c r="A3" s="2" t="str">
        <f>'Expert Ratings'!B3</f>
        <v>TEL2</v>
      </c>
      <c r="B3" s="3">
        <f>COUNTIF('Expert Ratings'!D3:J3,"&gt;=3")/COUNT('Expert Ratings'!D3:J3)</f>
        <v>1</v>
      </c>
      <c r="C3" s="2" t="str">
        <f t="shared" si="0"/>
        <v>Retain</v>
      </c>
    </row>
    <row r="4" spans="1:3" x14ac:dyDescent="0.25">
      <c r="A4" s="2" t="str">
        <f>'Expert Ratings'!B4</f>
        <v>TEL3</v>
      </c>
      <c r="B4" s="3">
        <f>COUNTIF('Expert Ratings'!D4:J4,"&gt;=3")/COUNT('Expert Ratings'!D4:J4)</f>
        <v>0.8571428571428571</v>
      </c>
      <c r="C4" s="2" t="str">
        <f t="shared" si="0"/>
        <v>Retain</v>
      </c>
    </row>
    <row r="5" spans="1:3" x14ac:dyDescent="0.25">
      <c r="A5" s="2" t="str">
        <f>'Expert Ratings'!B5</f>
        <v>TEL4</v>
      </c>
      <c r="B5" s="3">
        <f>COUNTIF('Expert Ratings'!D5:J5,"&gt;=3")/COUNT('Expert Ratings'!D5:J5)</f>
        <v>1</v>
      </c>
      <c r="C5" s="2" t="str">
        <f t="shared" si="0"/>
        <v>Retain</v>
      </c>
    </row>
    <row r="6" spans="1:3" x14ac:dyDescent="0.25">
      <c r="A6" s="2" t="str">
        <f>'Expert Ratings'!B6</f>
        <v>EL1</v>
      </c>
      <c r="B6" s="3">
        <f>COUNTIF('Expert Ratings'!D6:J6,"&gt;=3")/COUNT('Expert Ratings'!D6:J6)</f>
        <v>1</v>
      </c>
      <c r="C6" s="2" t="str">
        <f t="shared" si="0"/>
        <v>Retain</v>
      </c>
    </row>
    <row r="7" spans="1:3" x14ac:dyDescent="0.25">
      <c r="A7" s="2" t="str">
        <f>'Expert Ratings'!B7</f>
        <v>EL2</v>
      </c>
      <c r="B7" s="3">
        <f>COUNTIF('Expert Ratings'!D7:J7,"&gt;=3")/COUNT('Expert Ratings'!D7:J7)</f>
        <v>1</v>
      </c>
      <c r="C7" s="2" t="str">
        <f t="shared" si="0"/>
        <v>Retain</v>
      </c>
    </row>
    <row r="8" spans="1:3" x14ac:dyDescent="0.25">
      <c r="A8" s="2" t="str">
        <f>'Expert Ratings'!B8</f>
        <v>EL3</v>
      </c>
      <c r="B8" s="3">
        <f>COUNTIF('Expert Ratings'!D8:J8,"&gt;=3")/COUNT('Expert Ratings'!D8:J8)</f>
        <v>1</v>
      </c>
      <c r="C8" s="2" t="str">
        <f t="shared" si="0"/>
        <v>Retain</v>
      </c>
    </row>
    <row r="9" spans="1:3" x14ac:dyDescent="0.25">
      <c r="A9" s="2" t="str">
        <f>'Expert Ratings'!B9</f>
        <v>EL4</v>
      </c>
      <c r="B9" s="3">
        <f>COUNTIF('Expert Ratings'!D9:J9,"&gt;=3")/COUNT('Expert Ratings'!D9:J9)</f>
        <v>1</v>
      </c>
      <c r="C9" s="2" t="str">
        <f t="shared" si="0"/>
        <v>Retain</v>
      </c>
    </row>
    <row r="10" spans="1:3" x14ac:dyDescent="0.25">
      <c r="A10" s="2" t="str">
        <f>'Expert Ratings'!B10</f>
        <v>WIL1</v>
      </c>
      <c r="B10" s="3">
        <f>COUNTIF('Expert Ratings'!D10:J10,"&gt;=3")/COUNT('Expert Ratings'!D10:J10)</f>
        <v>1</v>
      </c>
      <c r="C10" s="2" t="str">
        <f t="shared" si="0"/>
        <v>Retain</v>
      </c>
    </row>
    <row r="11" spans="1:3" x14ac:dyDescent="0.25">
      <c r="A11" s="2" t="str">
        <f>'Expert Ratings'!B11</f>
        <v>WIL2</v>
      </c>
      <c r="B11" s="3">
        <f>COUNTIF('Expert Ratings'!D11:J11,"&gt;=3")/COUNT('Expert Ratings'!D11:J11)</f>
        <v>0.8571428571428571</v>
      </c>
      <c r="C11" s="2" t="str">
        <f t="shared" si="0"/>
        <v>Retain</v>
      </c>
    </row>
    <row r="12" spans="1:3" x14ac:dyDescent="0.25">
      <c r="A12" s="2" t="str">
        <f>'Expert Ratings'!B12</f>
        <v>WIL3</v>
      </c>
      <c r="B12" s="3">
        <f>COUNTIF('Expert Ratings'!D12:J12,"&gt;=3")/COUNT('Expert Ratings'!D12:J12)</f>
        <v>1</v>
      </c>
      <c r="C12" s="2" t="str">
        <f t="shared" si="0"/>
        <v>Retain</v>
      </c>
    </row>
    <row r="13" spans="1:3" x14ac:dyDescent="0.25">
      <c r="A13" s="2" t="str">
        <f>'Expert Ratings'!B13</f>
        <v>WIL4</v>
      </c>
      <c r="B13" s="3">
        <f>COUNTIF('Expert Ratings'!D13:J13,"&gt;=3")/COUNT('Expert Ratings'!D13:J13)</f>
        <v>1</v>
      </c>
      <c r="C13" s="2" t="str">
        <f t="shared" si="0"/>
        <v>Retain</v>
      </c>
    </row>
    <row r="14" spans="1:3" x14ac:dyDescent="0.25">
      <c r="A14" s="2" t="str">
        <f>'Expert Ratings'!B14</f>
        <v>DCC1</v>
      </c>
      <c r="B14" s="3">
        <f>COUNTIF('Expert Ratings'!D14:J14,"&gt;=3")/COUNT('Expert Ratings'!D14:J14)</f>
        <v>1</v>
      </c>
      <c r="C14" s="2" t="str">
        <f t="shared" si="0"/>
        <v>Retain</v>
      </c>
    </row>
    <row r="15" spans="1:3" x14ac:dyDescent="0.25">
      <c r="A15" s="2" t="str">
        <f>'Expert Ratings'!B15</f>
        <v>DCC2</v>
      </c>
      <c r="B15" s="3">
        <f>COUNTIF('Expert Ratings'!D15:J15,"&gt;=3")/COUNT('Expert Ratings'!D15:J15)</f>
        <v>1</v>
      </c>
      <c r="C15" s="2" t="str">
        <f t="shared" si="0"/>
        <v>Retain</v>
      </c>
    </row>
    <row r="16" spans="1:3" x14ac:dyDescent="0.25">
      <c r="A16" s="2" t="str">
        <f>'Expert Ratings'!B16</f>
        <v>DCC3</v>
      </c>
      <c r="B16" s="3">
        <f>COUNTIF('Expert Ratings'!D16:J16,"&gt;=3")/COUNT('Expert Ratings'!D16:J16)</f>
        <v>0.8571428571428571</v>
      </c>
      <c r="C16" s="2" t="str">
        <f t="shared" si="0"/>
        <v>Retain</v>
      </c>
    </row>
    <row r="17" spans="1:3" x14ac:dyDescent="0.25">
      <c r="A17" s="2" t="str">
        <f>'Expert Ratings'!B17</f>
        <v>DCC4</v>
      </c>
      <c r="B17" s="3">
        <f>COUNTIF('Expert Ratings'!D17:J17,"&gt;=3")/COUNT('Expert Ratings'!D17:J17)</f>
        <v>1</v>
      </c>
      <c r="C17" s="2" t="str">
        <f t="shared" si="0"/>
        <v>Retain</v>
      </c>
    </row>
    <row r="18" spans="1:3" x14ac:dyDescent="0.25">
      <c r="A18" s="2" t="str">
        <f>'Expert Ratings'!B18</f>
        <v>PCSE1</v>
      </c>
      <c r="B18" s="3">
        <f>COUNTIF('Expert Ratings'!D18:J18,"&gt;=3")/COUNT('Expert Ratings'!D18:J18)</f>
        <v>1</v>
      </c>
      <c r="C18" s="2" t="str">
        <f t="shared" si="0"/>
        <v>Retain</v>
      </c>
    </row>
    <row r="19" spans="1:3" x14ac:dyDescent="0.25">
      <c r="A19" s="2" t="str">
        <f>'Expert Ratings'!B19</f>
        <v>PCSE2</v>
      </c>
      <c r="B19" s="3">
        <f>COUNTIF('Expert Ratings'!D19:J19,"&gt;=3")/COUNT('Expert Ratings'!D19:J19)</f>
        <v>1</v>
      </c>
      <c r="C19" s="2" t="str">
        <f t="shared" si="0"/>
        <v>Retain</v>
      </c>
    </row>
    <row r="20" spans="1:3" x14ac:dyDescent="0.25">
      <c r="A20" s="2" t="str">
        <f>'Expert Ratings'!B20</f>
        <v>PCSE3</v>
      </c>
      <c r="B20" s="3">
        <f>COUNTIF('Expert Ratings'!D20:J20,"&gt;=3")/COUNT('Expert Ratings'!D20:J20)</f>
        <v>1</v>
      </c>
      <c r="C20" s="2" t="str">
        <f t="shared" si="0"/>
        <v>Retain</v>
      </c>
    </row>
    <row r="21" spans="1:3" x14ac:dyDescent="0.25">
      <c r="A21" s="2" t="str">
        <f>'Expert Ratings'!B21</f>
        <v>PCSE4</v>
      </c>
      <c r="B21" s="3">
        <f>COUNTIF('Expert Ratings'!D21:J21,"&gt;=3")/COUNT('Expert Ratings'!D21:J21)</f>
        <v>1</v>
      </c>
      <c r="C21" s="2" t="str">
        <f t="shared" si="0"/>
        <v>Retain</v>
      </c>
    </row>
    <row r="22" spans="1:3" x14ac:dyDescent="0.25">
      <c r="A22" s="2" t="str">
        <f>'Expert Ratings'!B22</f>
        <v>CA1</v>
      </c>
      <c r="B22" s="3">
        <f>COUNTIF('Expert Ratings'!D22:J22,"&gt;=3")/COUNT('Expert Ratings'!D22:J22)</f>
        <v>1</v>
      </c>
      <c r="C22" s="2" t="str">
        <f t="shared" si="0"/>
        <v>Retain</v>
      </c>
    </row>
    <row r="23" spans="1:3" x14ac:dyDescent="0.25">
      <c r="A23" s="2" t="str">
        <f>'Expert Ratings'!B23</f>
        <v>CA2</v>
      </c>
      <c r="B23" s="3">
        <f>COUNTIF('Expert Ratings'!D23:J23,"&gt;=3")/COUNT('Expert Ratings'!D23:J23)</f>
        <v>1</v>
      </c>
      <c r="C23" s="2" t="str">
        <f t="shared" si="0"/>
        <v>Retain</v>
      </c>
    </row>
    <row r="24" spans="1:3" x14ac:dyDescent="0.25">
      <c r="A24" s="2" t="str">
        <f>'Expert Ratings'!B24</f>
        <v>CA3</v>
      </c>
      <c r="B24" s="3">
        <f>COUNTIF('Expert Ratings'!D24:J24,"&gt;=3")/COUNT('Expert Ratings'!D24:J24)</f>
        <v>1</v>
      </c>
      <c r="C24" s="2" t="str">
        <f t="shared" si="0"/>
        <v>Retain</v>
      </c>
    </row>
    <row r="25" spans="1:3" x14ac:dyDescent="0.25">
      <c r="A25" s="2" t="str">
        <f>'Expert Ratings'!B25</f>
        <v>CA4</v>
      </c>
      <c r="B25" s="3">
        <f>COUNTIF('Expert Ratings'!D25:J25,"&gt;=3")/COUNT('Expert Ratings'!D25:J25)</f>
        <v>1</v>
      </c>
      <c r="C25" s="2" t="str">
        <f t="shared" si="0"/>
        <v>Retain</v>
      </c>
    </row>
    <row r="26" spans="1:3" x14ac:dyDescent="0.25">
      <c r="A26" s="2" t="str">
        <f>'Expert Ratings'!B26</f>
        <v>ICS1</v>
      </c>
      <c r="B26" s="3">
        <f>COUNTIF('Expert Ratings'!D26:J26,"&gt;=3")/COUNT('Expert Ratings'!D26:J26)</f>
        <v>1</v>
      </c>
      <c r="C26" s="2" t="str">
        <f t="shared" si="0"/>
        <v>Retain</v>
      </c>
    </row>
    <row r="27" spans="1:3" x14ac:dyDescent="0.25">
      <c r="A27" s="2" t="str">
        <f>'Expert Ratings'!B27</f>
        <v>ICS2</v>
      </c>
      <c r="B27" s="3">
        <f>COUNTIF('Expert Ratings'!D27:J27,"&gt;=3")/COUNT('Expert Ratings'!D27:J27)</f>
        <v>1</v>
      </c>
      <c r="C27" s="2" t="str">
        <f t="shared" si="0"/>
        <v>Retain</v>
      </c>
    </row>
    <row r="28" spans="1:3" x14ac:dyDescent="0.25">
      <c r="A28" s="2" t="str">
        <f>'Expert Ratings'!B28</f>
        <v>ICS3</v>
      </c>
      <c r="B28" s="3">
        <f>COUNTIF('Expert Ratings'!D28:J28,"&gt;=3")/COUNT('Expert Ratings'!D28:J28)</f>
        <v>0.8571428571428571</v>
      </c>
      <c r="C28" s="2" t="str">
        <f t="shared" si="0"/>
        <v>Retain</v>
      </c>
    </row>
    <row r="29" spans="1:3" x14ac:dyDescent="0.25">
      <c r="A29" s="2" t="str">
        <f>'Expert Ratings'!B29</f>
        <v>ICS4</v>
      </c>
      <c r="B29" s="3">
        <f>COUNTIF('Expert Ratings'!D29:J29,"&gt;=3")/COUNT('Expert Ratings'!D29:J29)</f>
        <v>0.8571428571428571</v>
      </c>
      <c r="C29" s="2" t="str">
        <f t="shared" si="0"/>
        <v>Retain</v>
      </c>
    </row>
    <row r="30" spans="1:3" x14ac:dyDescent="0.25">
      <c r="A30" s="2" t="str">
        <f>'Expert Ratings'!B30</f>
        <v>GPE1</v>
      </c>
      <c r="B30" s="3">
        <f>COUNTIF('Expert Ratings'!D30:J30,"&gt;=3")/COUNT('Expert Ratings'!D30:J30)</f>
        <v>1</v>
      </c>
      <c r="C30" s="2" t="str">
        <f t="shared" si="0"/>
        <v>Retain</v>
      </c>
    </row>
    <row r="31" spans="1:3" x14ac:dyDescent="0.25">
      <c r="A31" s="2" t="str">
        <f>'Expert Ratings'!B31</f>
        <v>GPE2</v>
      </c>
      <c r="B31" s="3">
        <f>COUNTIF('Expert Ratings'!D31:J31,"&gt;=3")/COUNT('Expert Ratings'!D31:J31)</f>
        <v>1</v>
      </c>
      <c r="C31" s="2" t="str">
        <f t="shared" si="0"/>
        <v>Retain</v>
      </c>
    </row>
    <row r="32" spans="1:3" x14ac:dyDescent="0.25">
      <c r="A32" s="2" t="str">
        <f>'Expert Ratings'!B32</f>
        <v>GPE3</v>
      </c>
      <c r="B32" s="3">
        <f>COUNTIF('Expert Ratings'!D32:J32,"&gt;=3")/COUNT('Expert Ratings'!D32:J32)</f>
        <v>1</v>
      </c>
      <c r="C32" s="2" t="str">
        <f t="shared" si="0"/>
        <v>Retain</v>
      </c>
    </row>
    <row r="33" spans="1:3" x14ac:dyDescent="0.25">
      <c r="A33" s="2" t="str">
        <f>'Expert Ratings'!B33</f>
        <v>GPE4</v>
      </c>
      <c r="B33" s="3">
        <f>COUNTIF('Expert Ratings'!D33:J33,"&gt;=3")/COUNT('Expert Ratings'!D33:J33)</f>
        <v>1</v>
      </c>
      <c r="C33" s="2" t="str">
        <f t="shared" si="0"/>
        <v>Retain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Expert Panel Profile</vt:lpstr>
      <vt:lpstr>Expert Ratings</vt:lpstr>
      <vt:lpstr>Relevance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SAMDISH D SHARMA</dc:creator>
  <dcterms:created xsi:type="dcterms:W3CDTF">2026-10-19T03:16:49Z</dcterms:created>
  <dcterms:modified xsi:type="dcterms:W3CDTF">2026-10-19T03:18:27Z</dcterms:modified>
</cp:coreProperties>
</file>